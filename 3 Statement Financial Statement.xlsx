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Projects\3 Statement Financial Model &amp; Valuation Dashboard\"/>
    </mc:Choice>
  </mc:AlternateContent>
  <xr:revisionPtr revIDLastSave="0" documentId="13_ncr:1_{EC998440-A3D8-4F81-8B26-8AF484F28F65}" xr6:coauthVersionLast="47" xr6:coauthVersionMax="47" xr10:uidLastSave="{00000000-0000-0000-0000-000000000000}"/>
  <bookViews>
    <workbookView xWindow="-108" yWindow="-108" windowWidth="23256" windowHeight="12456" xr2:uid="{5B211EA4-095D-4579-B3BC-19A392EE9991}"/>
  </bookViews>
  <sheets>
    <sheet name="3 Statement Financial Model " sheetId="1" r:id="rId1"/>
  </sheets>
  <externalReferences>
    <externalReference r:id="rId2"/>
  </externalReferences>
  <definedNames>
    <definedName name="UPDATE">'[1]Data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1" l="1"/>
  <c r="C115" i="1"/>
  <c r="E89" i="1"/>
  <c r="G78" i="1"/>
  <c r="C79" i="1"/>
  <c r="C114" i="1"/>
  <c r="E84" i="1"/>
  <c r="G77" i="1"/>
  <c r="E70" i="1"/>
  <c r="D70" i="1"/>
  <c r="C70" i="1"/>
  <c r="F68" i="1"/>
  <c r="E62" i="1"/>
  <c r="D62" i="1"/>
  <c r="C62" i="1"/>
  <c r="E61" i="1"/>
  <c r="D61" i="1"/>
  <c r="C61" i="1"/>
  <c r="C57" i="1"/>
  <c r="C52" i="1"/>
  <c r="E39" i="1"/>
  <c r="E41" i="1" s="1"/>
  <c r="D39" i="1"/>
  <c r="C39" i="1"/>
  <c r="G34" i="1"/>
  <c r="F34" i="1"/>
  <c r="H34" i="1" s="1"/>
  <c r="E28" i="1"/>
  <c r="D28" i="1"/>
  <c r="C28" i="1"/>
  <c r="E22" i="1"/>
  <c r="D22" i="1"/>
  <c r="C22" i="1"/>
  <c r="E19" i="1"/>
  <c r="G76" i="1" s="1"/>
  <c r="D19" i="1"/>
  <c r="C19" i="1"/>
  <c r="E13" i="1"/>
  <c r="D13" i="1"/>
  <c r="C13" i="1"/>
  <c r="E7" i="1"/>
  <c r="D7" i="1"/>
  <c r="C7" i="1"/>
  <c r="C4" i="1" a="1"/>
  <c r="D23" i="1" l="1"/>
  <c r="G23" i="1" s="1"/>
  <c r="E23" i="1"/>
  <c r="D8" i="1"/>
  <c r="D14" i="1"/>
  <c r="E8" i="1"/>
  <c r="E14" i="1"/>
  <c r="E5" i="1"/>
  <c r="G4" i="1" s="1"/>
  <c r="D20" i="1"/>
  <c r="E20" i="1"/>
  <c r="C41" i="1"/>
  <c r="D41" i="1"/>
  <c r="E10" i="1"/>
  <c r="C4" i="1"/>
  <c r="C20" i="1" s="1"/>
  <c r="E86" i="1"/>
  <c r="E87" i="1" s="1"/>
  <c r="D10" i="1"/>
  <c r="G22" i="1" l="1"/>
  <c r="D96" i="1" s="1"/>
  <c r="D98" i="1"/>
  <c r="G59" i="1"/>
  <c r="G51" i="1"/>
  <c r="G58" i="1"/>
  <c r="G14" i="1"/>
  <c r="G13" i="1" s="1"/>
  <c r="G20" i="1"/>
  <c r="G19" i="1" s="1"/>
  <c r="F20" i="1"/>
  <c r="H20" i="1" s="1"/>
  <c r="G8" i="1"/>
  <c r="G7" i="1" s="1"/>
  <c r="G10" i="1" s="1"/>
  <c r="C10" i="1"/>
  <c r="D5" i="1"/>
  <c r="F5" i="1" s="1"/>
  <c r="E16" i="1"/>
  <c r="E11" i="1"/>
  <c r="C14" i="1"/>
  <c r="F14" i="1" s="1"/>
  <c r="H14" i="1" s="1"/>
  <c r="C23" i="1"/>
  <c r="F23" i="1" s="1"/>
  <c r="H23" i="1" s="1"/>
  <c r="C8" i="1"/>
  <c r="F8" i="1" s="1"/>
  <c r="H8" i="1" s="1"/>
  <c r="D16" i="1"/>
  <c r="D11" i="1"/>
  <c r="E88" i="1"/>
  <c r="F4" i="1" l="1"/>
  <c r="F22" i="1" s="1"/>
  <c r="G16" i="1"/>
  <c r="D93" i="1" s="1"/>
  <c r="G11" i="1"/>
  <c r="G53" i="1"/>
  <c r="G68" i="1" s="1"/>
  <c r="F58" i="1"/>
  <c r="C11" i="1"/>
  <c r="C16" i="1"/>
  <c r="D97" i="1"/>
  <c r="C98" i="1"/>
  <c r="F13" i="1"/>
  <c r="F19" i="1"/>
  <c r="D25" i="1"/>
  <c r="D17" i="1"/>
  <c r="E17" i="1"/>
  <c r="E25" i="1"/>
  <c r="H4" i="1"/>
  <c r="G5" i="1"/>
  <c r="H5" i="1" s="1"/>
  <c r="F7" i="1" l="1"/>
  <c r="F10" i="1" s="1"/>
  <c r="F59" i="1"/>
  <c r="F51" i="1"/>
  <c r="G17" i="1"/>
  <c r="G25" i="1"/>
  <c r="G26" i="1" s="1"/>
  <c r="F16" i="1"/>
  <c r="F11" i="1"/>
  <c r="H22" i="1"/>
  <c r="H13" i="1"/>
  <c r="H19" i="1"/>
  <c r="H7" i="1"/>
  <c r="H10" i="1" s="1"/>
  <c r="E98" i="1"/>
  <c r="H51" i="1"/>
  <c r="H58" i="1"/>
  <c r="H59" i="1"/>
  <c r="C25" i="1"/>
  <c r="C17" i="1"/>
  <c r="C97" i="1"/>
  <c r="C96" i="1"/>
  <c r="E26" i="1"/>
  <c r="E29" i="1"/>
  <c r="E31" i="1"/>
  <c r="D31" i="1"/>
  <c r="D26" i="1"/>
  <c r="D29" i="1"/>
  <c r="D94" i="1"/>
  <c r="D95" i="1" s="1"/>
  <c r="D99" i="1" s="1"/>
  <c r="D103" i="1" s="1"/>
  <c r="G29" i="1" l="1"/>
  <c r="G28" i="1" s="1"/>
  <c r="G31" i="1" s="1"/>
  <c r="H16" i="1"/>
  <c r="H11" i="1"/>
  <c r="G67" i="1"/>
  <c r="G32" i="1"/>
  <c r="G36" i="1"/>
  <c r="D36" i="1"/>
  <c r="D32" i="1"/>
  <c r="D44" i="1"/>
  <c r="E36" i="1"/>
  <c r="E32" i="1"/>
  <c r="E44" i="1"/>
  <c r="E96" i="1"/>
  <c r="H53" i="1"/>
  <c r="C31" i="1"/>
  <c r="C26" i="1"/>
  <c r="C29" i="1"/>
  <c r="F29" i="1" s="1"/>
  <c r="F28" i="1" s="1"/>
  <c r="F17" i="1"/>
  <c r="F25" i="1"/>
  <c r="C93" i="1"/>
  <c r="H29" i="1" l="1"/>
  <c r="H28" i="1" s="1"/>
  <c r="E97" i="1"/>
  <c r="H68" i="1"/>
  <c r="C94" i="1"/>
  <c r="C95" i="1" s="1"/>
  <c r="C99" i="1" s="1"/>
  <c r="C103" i="1" s="1"/>
  <c r="F26" i="1"/>
  <c r="F31" i="1"/>
  <c r="D40" i="1"/>
  <c r="D43" i="1" s="1"/>
  <c r="E37" i="1"/>
  <c r="E40" i="1"/>
  <c r="C36" i="1"/>
  <c r="C32" i="1"/>
  <c r="C44" i="1"/>
  <c r="H17" i="1"/>
  <c r="E93" i="1"/>
  <c r="H25" i="1"/>
  <c r="F32" i="1" l="1"/>
  <c r="F67" i="1"/>
  <c r="F36" i="1"/>
  <c r="H31" i="1"/>
  <c r="H26" i="1"/>
  <c r="E43" i="1"/>
  <c r="E94" i="1"/>
  <c r="E95" i="1" s="1"/>
  <c r="E99" i="1" s="1"/>
  <c r="G40" i="1"/>
  <c r="G39" i="1" s="1"/>
  <c r="C40" i="1"/>
  <c r="F40" i="1" s="1"/>
  <c r="H40" i="1" s="1"/>
  <c r="D37" i="1"/>
  <c r="F37" i="1" s="1"/>
  <c r="H36" i="1" l="1"/>
  <c r="H67" i="1"/>
  <c r="H32" i="1"/>
  <c r="C43" i="1"/>
  <c r="F39" i="1"/>
  <c r="F41" i="1" s="1"/>
  <c r="G41" i="1"/>
  <c r="G43" i="1"/>
  <c r="C108" i="1"/>
  <c r="C109" i="1" s="1"/>
  <c r="E103" i="1"/>
  <c r="C104" i="1" s="1"/>
  <c r="G37" i="1"/>
  <c r="H37" i="1" s="1"/>
  <c r="C113" i="1" l="1"/>
  <c r="F43" i="1"/>
  <c r="G69" i="1"/>
  <c r="G70" i="1" s="1"/>
  <c r="G44" i="1"/>
  <c r="F69" i="1"/>
  <c r="F70" i="1" s="1"/>
  <c r="F71" i="1" s="1"/>
  <c r="F44" i="1"/>
  <c r="F49" i="1" s="1"/>
  <c r="H39" i="1"/>
  <c r="H41" i="1" s="1"/>
  <c r="G49" i="1" l="1"/>
  <c r="F52" i="1"/>
  <c r="H69" i="1"/>
  <c r="H70" i="1" s="1"/>
  <c r="H44" i="1"/>
  <c r="H43" i="1"/>
  <c r="F60" i="1"/>
  <c r="F61" i="1" s="1"/>
  <c r="G71" i="1"/>
  <c r="H71" i="1" l="1"/>
  <c r="H60" i="1" s="1"/>
  <c r="H61" i="1" s="1"/>
  <c r="G60" i="1"/>
  <c r="G61" i="1" s="1"/>
  <c r="F56" i="1"/>
  <c r="F57" i="1" s="1"/>
  <c r="F62" i="1" s="1"/>
  <c r="G52" i="1"/>
  <c r="G56" i="1" s="1"/>
  <c r="G57" i="1" s="1"/>
  <c r="G62" i="1" s="1"/>
  <c r="H49" i="1"/>
  <c r="H52" i="1" s="1"/>
  <c r="H56" i="1" s="1"/>
  <c r="H57" i="1" s="1"/>
  <c r="H6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<sst xmlns="http://schemas.openxmlformats.org/spreadsheetml/2006/main" count="120" uniqueCount="92">
  <si>
    <t>Income Statement</t>
  </si>
  <si>
    <t>Particulars</t>
  </si>
  <si>
    <t>FY24 (Historical)</t>
  </si>
  <si>
    <t>FY25 (Historical)</t>
  </si>
  <si>
    <t>FY26 (Historical)</t>
  </si>
  <si>
    <t>FY27 (Forecasted)</t>
  </si>
  <si>
    <t>FY28 (Forecasted)</t>
  </si>
  <si>
    <t>FY29 (Forecasted)</t>
  </si>
  <si>
    <t>Sales</t>
  </si>
  <si>
    <t>Sales Growth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</si>
  <si>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</si>
  <si>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</si>
  <si>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</si>
  <si>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</si>
  <si>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</si>
  <si>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</si>
  <si>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</si>
  <si>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</si>
  <si>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</si>
  <si>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</si>
  <si>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</si>
  <si>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 % Sales</t>
  </si>
  <si>
    <t>Earnings Before Tax</t>
  </si>
  <si>
    <t>EBT % Sales</t>
  </si>
  <si>
    <t>Tax</t>
  </si>
  <si>
    <t>Effective Tax Rate</t>
  </si>
  <si>
    <t>Net Profit</t>
  </si>
  <si>
    <t>Net Margins</t>
  </si>
  <si>
    <t>No. of Equity Shares (INR Crores)</t>
  </si>
  <si>
    <t>Earning Per Share</t>
  </si>
  <si>
    <t>EPS Growth %</t>
  </si>
  <si>
    <t>Dividend Per Share</t>
  </si>
  <si>
    <t>Dividend Payout Ratio</t>
  </si>
  <si>
    <t>Total Dividend Paid</t>
  </si>
  <si>
    <t>Retained Earnings</t>
  </si>
  <si>
    <t>Retained Earnings (INR Crores)</t>
  </si>
  <si>
    <t>Balance Sheet</t>
  </si>
  <si>
    <t>Equity Share Capital</t>
  </si>
  <si>
    <t>Reserve &amp; Surplus</t>
  </si>
  <si>
    <t>Borrowings</t>
  </si>
  <si>
    <t>Other Liabilities</t>
  </si>
  <si>
    <t>Total Liabilities</t>
  </si>
  <si>
    <t>Net Block</t>
  </si>
  <si>
    <t>Capital Work in Progress</t>
  </si>
  <si>
    <t>Investments</t>
  </si>
  <si>
    <t>Other Assets</t>
  </si>
  <si>
    <t>Total Non-Current Assets</t>
  </si>
  <si>
    <t>Receivables</t>
  </si>
  <si>
    <t>Inventory</t>
  </si>
  <si>
    <t>Cash &amp; Bank</t>
  </si>
  <si>
    <t>Total Current Assets</t>
  </si>
  <si>
    <t>Total Assets</t>
  </si>
  <si>
    <t>Cash Flow Statement</t>
  </si>
  <si>
    <t>Cash from Operating Activity</t>
  </si>
  <si>
    <t>Cash from Investing Activity</t>
  </si>
  <si>
    <t>Cash from Financing Activity</t>
  </si>
  <si>
    <t>Net Cash Flow</t>
  </si>
  <si>
    <t>Closing Cash Balance</t>
  </si>
  <si>
    <t>Cost of Equity</t>
  </si>
  <si>
    <t>Cost of Debt</t>
  </si>
  <si>
    <t>Risk Free Rate</t>
  </si>
  <si>
    <t>Interest Expense</t>
  </si>
  <si>
    <t>Equity Risk Premium</t>
  </si>
  <si>
    <t>Debt Cost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</si>
  <si>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</si>
  <si>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Weighted Average Cost of Capital</t>
  </si>
  <si>
    <t>Amount(In Crores)</t>
  </si>
  <si>
    <t>Debt Capital</t>
  </si>
  <si>
    <t>Equity Capital</t>
  </si>
  <si>
    <t>Total Capital</t>
  </si>
  <si>
    <t>Weight of Equity</t>
  </si>
  <si>
    <t>Weight of Debt</t>
  </si>
  <si>
    <t>WACC</t>
  </si>
  <si>
    <t>Free Cash Flow to Firm</t>
  </si>
  <si>
    <t>EBIT (Operating Profit)</t>
  </si>
  <si>
    <t>Net Opearting Profit After Tax</t>
  </si>
  <si>
    <t>Capital Expenditure (CAPEX)</t>
  </si>
  <si>
    <t>Change in Working Capital</t>
  </si>
  <si>
    <t>Present Value (PV) of FCF</t>
  </si>
  <si>
    <t xml:space="preserve">FY27 </t>
  </si>
  <si>
    <t xml:space="preserve">FY28 </t>
  </si>
  <si>
    <t xml:space="preserve">FY29 </t>
  </si>
  <si>
    <t>Sum of PV (3 Years)</t>
  </si>
  <si>
    <t>Terminal Value (TV)</t>
  </si>
  <si>
    <t>Amount(INR CRORES)</t>
  </si>
  <si>
    <t xml:space="preserve">Terminal Value </t>
  </si>
  <si>
    <t>PV of Terminal Value</t>
  </si>
  <si>
    <t>Enterprise Value &amp; Equity Value (Intrinsic Value)</t>
  </si>
  <si>
    <t>Enterprise Value</t>
  </si>
  <si>
    <t>Net Debt</t>
  </si>
  <si>
    <t>Equity Value</t>
  </si>
  <si>
    <t>Intrinsic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</si>
</sst>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.00"/>
    <numFmt numFmtId="165" formatCode="0.0"/>
    <numFmt numFmtId="166" formatCode="#,##0;\(#,##0\);&quot;-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2" fillId="3" borderId="0" xfId="0" applyFont="1" applyFill="1"/>
    <xf numFmtId="164" fontId="0" fillId="0" borderId="0" xfId="0" applyNumberFormat="1"/>
    <xf numFmtId="164" fontId="0" fillId="4" borderId="0" xfId="0" applyNumberFormat="1" applyFill="1"/>
    <xf numFmtId="43" fontId="5" fillId="5" borderId="0" xfId="1" applyFont="1" applyFill="1" applyBorder="1"/>
    <xf numFmtId="0" fontId="5" fillId="5" borderId="0" xfId="0" applyFont="1" applyFill="1"/>
    <xf numFmtId="10" fontId="5" fillId="5" borderId="0" xfId="2" applyNumberFormat="1" applyFont="1" applyFill="1"/>
    <xf numFmtId="10" fontId="5" fillId="4" borderId="0" xfId="0" applyNumberFormat="1" applyFont="1" applyFill="1"/>
    <xf numFmtId="0" fontId="0" fillId="4" borderId="0" xfId="0" applyFill="1"/>
    <xf numFmtId="10" fontId="5" fillId="4" borderId="0" xfId="2" applyNumberFormat="1" applyFont="1" applyFill="1"/>
    <xf numFmtId="10" fontId="0" fillId="0" borderId="0" xfId="0" applyNumberFormat="1"/>
    <xf numFmtId="165" fontId="0" fillId="0" borderId="0" xfId="0" applyNumberFormat="1"/>
    <xf numFmtId="165" fontId="0" fillId="4" borderId="0" xfId="0" applyNumberFormat="1" applyFill="1"/>
    <xf numFmtId="9" fontId="5" fillId="5" borderId="0" xfId="2" applyFont="1" applyFill="1"/>
    <xf numFmtId="9" fontId="5" fillId="4" borderId="0" xfId="0" applyNumberFormat="1" applyFont="1" applyFill="1"/>
    <xf numFmtId="2" fontId="5" fillId="5" borderId="0" xfId="2" applyNumberFormat="1" applyFont="1" applyFill="1"/>
    <xf numFmtId="10" fontId="0" fillId="0" borderId="0" xfId="2" applyNumberFormat="1" applyFont="1"/>
    <xf numFmtId="10" fontId="0" fillId="4" borderId="0" xfId="2" applyNumberFormat="1" applyFont="1" applyFill="1"/>
    <xf numFmtId="0" fontId="3" fillId="2" borderId="0" xfId="0" applyFont="1" applyFill="1"/>
    <xf numFmtId="0" fontId="0" fillId="2" borderId="0" xfId="0" applyFill="1"/>
    <xf numFmtId="164" fontId="0" fillId="6" borderId="0" xfId="0" applyNumberFormat="1" applyFill="1"/>
    <xf numFmtId="43" fontId="1" fillId="0" borderId="0" xfId="1" applyFont="1" applyBorder="1"/>
    <xf numFmtId="43" fontId="3" fillId="0" borderId="1" xfId="1" applyFont="1" applyBorder="1"/>
    <xf numFmtId="164" fontId="6" fillId="5" borderId="1" xfId="0" applyNumberFormat="1" applyFont="1" applyFill="1" applyBorder="1"/>
    <xf numFmtId="164" fontId="6" fillId="6" borderId="1" xfId="0" applyNumberFormat="1" applyFont="1" applyFill="1" applyBorder="1"/>
    <xf numFmtId="43" fontId="6" fillId="0" borderId="1" xfId="1" applyFont="1" applyBorder="1"/>
    <xf numFmtId="43" fontId="0" fillId="0" borderId="0" xfId="1" applyFont="1" applyBorder="1"/>
    <xf numFmtId="43" fontId="6" fillId="0" borderId="1" xfId="1" applyFont="1" applyFill="1" applyBorder="1"/>
    <xf numFmtId="43" fontId="3" fillId="0" borderId="1" xfId="1" applyFont="1" applyFill="1" applyBorder="1"/>
    <xf numFmtId="164" fontId="3" fillId="7" borderId="1" xfId="0" applyNumberFormat="1" applyFont="1" applyFill="1" applyBorder="1"/>
    <xf numFmtId="164" fontId="3" fillId="6" borderId="1" xfId="0" applyNumberFormat="1" applyFont="1" applyFill="1" applyBorder="1"/>
    <xf numFmtId="166" fontId="0" fillId="0" borderId="0" xfId="0" applyNumberFormat="1"/>
    <xf numFmtId="0" fontId="3" fillId="0" borderId="1" xfId="0" applyFont="1" applyBorder="1"/>
    <xf numFmtId="2" fontId="3" fillId="0" borderId="1" xfId="0" applyNumberFormat="1" applyFont="1" applyBorder="1"/>
    <xf numFmtId="43" fontId="1" fillId="0" borderId="0" xfId="1" applyFont="1" applyFill="1" applyBorder="1"/>
    <xf numFmtId="0" fontId="7" fillId="0" borderId="2" xfId="0" applyFont="1" applyBorder="1"/>
    <xf numFmtId="0" fontId="0" fillId="0" borderId="2" xfId="0" applyBorder="1"/>
    <xf numFmtId="2" fontId="0" fillId="0" borderId="0" xfId="0" applyNumberFormat="1"/>
    <xf numFmtId="0" fontId="0" fillId="0" borderId="3" xfId="0" applyBorder="1"/>
    <xf numFmtId="10" fontId="0" fillId="0" borderId="3" xfId="0" applyNumberFormat="1" applyBorder="1"/>
    <xf numFmtId="0" fontId="3" fillId="0" borderId="2" xfId="0" applyFont="1" applyBorder="1"/>
    <xf numFmtId="164" fontId="0" fillId="0" borderId="0" xfId="2" applyNumberFormat="1" applyFont="1"/>
    <xf numFmtId="164" fontId="9" fillId="0" borderId="0" xfId="0" applyNumberFormat="1" applyFont="1"/>
    <xf numFmtId="164" fontId="0" fillId="5" borderId="3" xfId="2" applyNumberFormat="1" applyFont="1" applyFill="1" applyBorder="1"/>
    <xf numFmtId="0" fontId="3" fillId="5" borderId="4" xfId="0" applyFont="1" applyFill="1" applyBorder="1"/>
    <xf numFmtId="10" fontId="3" fillId="5" borderId="4" xfId="2" applyNumberFormat="1" applyFont="1" applyFill="1" applyBorder="1"/>
    <xf numFmtId="0" fontId="3" fillId="0" borderId="4" xfId="0" applyFont="1" applyBorder="1"/>
    <xf numFmtId="164" fontId="3" fillId="0" borderId="4" xfId="0" applyNumberFormat="1" applyFont="1" applyBorder="1"/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164" fontId="0" fillId="0" borderId="4" xfId="0" applyNumberFormat="1" applyBorder="1"/>
    <xf numFmtId="0" fontId="3" fillId="4" borderId="4" xfId="0" applyFont="1" applyFill="1" applyBorder="1"/>
    <xf numFmtId="164" fontId="3" fillId="4" borderId="4" xfId="0" applyNumberFormat="1" applyFont="1" applyFill="1" applyBorder="1"/>
    <xf numFmtId="164" fontId="0" fillId="0" borderId="4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liance%20Industries%203%20Statement%20Financial%20Data.xlsx" TargetMode="External"/><Relationship Id="rId2" Type="http://schemas.openxmlformats.org/officeDocument/2006/relationships/externalLinkPath" Target="file:///C:\Users\HP\Downloads\Reliance%20Industries%203%20Statement%20Financial%20Data.xlsx" TargetMode="External"/><Relationship Id="rId1" Type="http://schemas.openxmlformats.org/officeDocument/2006/relationships/externalLinkPath" Target="/Users/HP/Downloads/Reliance%20Industries%203%20Statement%20Financial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fit &amp; Loss"/>
      <sheetName val="Quarters"/>
      <sheetName val="Balance Sheet"/>
      <sheetName val="Cash Flow"/>
      <sheetName val="Customization"/>
      <sheetName val="Data Sheet"/>
      <sheetName val="3 Statement Financial Model "/>
    </sheetNames>
    <sheetDataSet>
      <sheetData sheetId="0"/>
      <sheetData sheetId="1"/>
      <sheetData sheetId="2"/>
      <sheetData sheetId="3"/>
      <sheetData sheetId="4"/>
      <sheetData sheetId="5">
        <row r="1">
          <cell r="E1" t="str">
            <v/>
          </cell>
        </row>
        <row r="17">
          <cell r="I17">
            <v>899041</v>
          </cell>
          <cell r="J17">
            <v>962820</v>
          </cell>
          <cell r="K17">
            <v>1055780</v>
          </cell>
        </row>
        <row r="18">
          <cell r="E18">
            <v>410288</v>
          </cell>
          <cell r="F18">
            <v>301765</v>
          </cell>
          <cell r="G18">
            <v>494449</v>
          </cell>
        </row>
        <row r="19">
          <cell r="E19">
            <v>5048</v>
          </cell>
          <cell r="F19">
            <v>9064</v>
          </cell>
          <cell r="G19">
            <v>21457</v>
          </cell>
        </row>
        <row r="20">
          <cell r="E20">
            <v>15098</v>
          </cell>
          <cell r="F20">
            <v>13214</v>
          </cell>
          <cell r="G20">
            <v>17902</v>
          </cell>
        </row>
        <row r="21">
          <cell r="E21">
            <v>11434</v>
          </cell>
          <cell r="F21">
            <v>7687</v>
          </cell>
          <cell r="G21">
            <v>12174</v>
          </cell>
        </row>
        <row r="23">
          <cell r="I23">
            <v>77292</v>
          </cell>
          <cell r="J23">
            <v>88760</v>
          </cell>
          <cell r="K23">
            <v>104723</v>
          </cell>
        </row>
        <row r="26">
          <cell r="I26">
            <v>50832</v>
          </cell>
          <cell r="J26">
            <v>53136</v>
          </cell>
          <cell r="K26">
            <v>57688</v>
          </cell>
        </row>
        <row r="27">
          <cell r="I27">
            <v>23118</v>
          </cell>
          <cell r="J27">
            <v>24269</v>
          </cell>
          <cell r="K27">
            <v>27061</v>
          </cell>
        </row>
        <row r="29">
          <cell r="I29">
            <v>25707</v>
          </cell>
          <cell r="J29">
            <v>25230</v>
          </cell>
          <cell r="K29">
            <v>27552</v>
          </cell>
        </row>
        <row r="31">
          <cell r="I31">
            <v>6766</v>
          </cell>
          <cell r="J31">
            <v>7442.6</v>
          </cell>
          <cell r="K31">
            <v>8119.2</v>
          </cell>
        </row>
      </sheetData>
      <sheetData sheetId="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0BC3-3C78-4F20-85C1-9EE7911334AC}">
  <dimension ref="A2:J116"/>
  <sheetViews>
    <sheetView showGridLines="0" tabSelected="1" topLeftCell="B93" workbookViewId="0">
      <selection activeCell="C117" sqref="C117"/>
    </sheetView>
  </sheetViews>
  <sheetFormatPr defaultRowHeight="14.4" x14ac:dyDescent="0.3"/>
  <cols>
    <col min="1" max="1" width="3.44140625" customWidth="1"/>
    <col min="2" max="2" width="27.77734375" customWidth="1"/>
    <col min="3" max="3" width="19" customWidth="1"/>
    <col min="4" max="4" width="17.33203125" customWidth="1"/>
    <col min="5" max="5" width="19.6640625" customWidth="1"/>
    <col min="6" max="7" width="16.44140625" customWidth="1"/>
    <col min="8" max="8" width="15.88671875" customWidth="1"/>
    <col min="10" max="10" width="19.109375" customWidth="1"/>
  </cols>
  <sheetData>
    <row r="2" spans="2:9" ht="15.6" x14ac:dyDescent="0.3">
      <c r="B2" s="1" t="s">
        <v>0</v>
      </c>
      <c r="C2" s="2"/>
      <c r="D2" s="2"/>
      <c r="E2" s="2"/>
      <c r="F2" s="2"/>
      <c r="G2" s="2"/>
      <c r="H2" s="2"/>
    </row>
    <row r="3" spans="2:9" x14ac:dyDescent="0.3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2:9" x14ac:dyDescent="0.3">
      <c r="B4" t="s">
        <v>8</v>
      </c>
      <c r="C4" s="4" cm="1">
        <f t="array" ref="C4:E4">IFERROR('[1]Data Sheet'!I17:K17,0)</f>
        <v>899041</v>
      </c>
      <c r="D4" s="4">
        <v>962820</v>
      </c>
      <c r="E4" s="4">
        <v>1055780</v>
      </c>
      <c r="F4" s="5">
        <f>C4*(1+D5)</f>
        <v>962820</v>
      </c>
      <c r="G4" s="5">
        <f t="shared" ref="G4:H4" si="0">D4*(1+E5)</f>
        <v>1055780</v>
      </c>
      <c r="H4" s="5">
        <f t="shared" si="0"/>
        <v>1144196.7531599915</v>
      </c>
    </row>
    <row r="5" spans="2:9" x14ac:dyDescent="0.3">
      <c r="B5" s="6" t="s">
        <v>9</v>
      </c>
      <c r="C5" s="7"/>
      <c r="D5" s="8">
        <f>D4/C4-1</f>
        <v>7.0941147289167006E-2</v>
      </c>
      <c r="E5" s="8">
        <f>E4/D4-1</f>
        <v>9.6549718535136275E-2</v>
      </c>
      <c r="F5" s="9">
        <f>AVERAGE(D5:E5)</f>
        <v>8.3745432912151641E-2</v>
      </c>
      <c r="G5" s="9">
        <f t="shared" ref="G5:H5" si="1">AVERAGE(E5:F5)</f>
        <v>9.0147575723643958E-2</v>
      </c>
      <c r="H5" s="9">
        <f t="shared" si="1"/>
        <v>8.6946504317897799E-2</v>
      </c>
    </row>
    <row r="6" spans="2:9" x14ac:dyDescent="0.3">
      <c r="D6" s="4"/>
      <c r="F6" s="10"/>
      <c r="G6" s="10"/>
      <c r="H6" s="10"/>
    </row>
    <row r="7" spans="2:9" x14ac:dyDescent="0.3">
      <c r="B7" t="s">
        <v>10</v>
      </c>
      <c r="C7" s="4">
        <f>IFERROR(SUM('[1]Data Sheet'!E18,'[1]Data Sheet'!E20:E21)-1*'[1]Data Sheet'!E19,0)</f>
        <v>431772</v>
      </c>
      <c r="D7" s="4">
        <f>IFERROR(SUM('[1]Data Sheet'!F18,'[1]Data Sheet'!F20:F21)-1*'[1]Data Sheet'!F19,0)</f>
        <v>313602</v>
      </c>
      <c r="E7" s="4">
        <f>IFERROR(SUM('[1]Data Sheet'!G18,'[1]Data Sheet'!G20:G21)-1*'[1]Data Sheet'!G19,0)</f>
        <v>503068</v>
      </c>
      <c r="F7" s="5">
        <f>F4*F8</f>
        <v>388002.20052366913</v>
      </c>
      <c r="G7" s="5">
        <f t="shared" ref="G7:H7" si="2">G4*G8</f>
        <v>423474.09241602791</v>
      </c>
      <c r="H7" s="5">
        <f t="shared" si="2"/>
        <v>503145.99664027925</v>
      </c>
    </row>
    <row r="8" spans="2:9" x14ac:dyDescent="0.3">
      <c r="B8" s="7" t="s">
        <v>11</v>
      </c>
      <c r="C8" s="8">
        <f>C7/C4</f>
        <v>0.4802584086821402</v>
      </c>
      <c r="D8" s="8">
        <f t="shared" ref="D8:E8" si="3">D7/D4</f>
        <v>0.32571197108493799</v>
      </c>
      <c r="E8" s="8">
        <f t="shared" si="3"/>
        <v>0.47648942014434825</v>
      </c>
      <c r="F8" s="9">
        <f>AVERAGE(C8:D8)</f>
        <v>0.4029851898835391</v>
      </c>
      <c r="G8" s="9">
        <f t="shared" ref="G8:H8" si="4">AVERAGE(D8:E8)</f>
        <v>0.40110069561464312</v>
      </c>
      <c r="H8" s="9">
        <f t="shared" si="4"/>
        <v>0.4397373050139437</v>
      </c>
    </row>
    <row r="9" spans="2:9" x14ac:dyDescent="0.3">
      <c r="F9" s="10"/>
      <c r="G9" s="10"/>
      <c r="H9" s="10"/>
    </row>
    <row r="10" spans="2:9" x14ac:dyDescent="0.3">
      <c r="B10" t="s">
        <v>12</v>
      </c>
      <c r="C10" s="4">
        <f>C4-C7</f>
        <v>467269</v>
      </c>
      <c r="D10" s="4">
        <f t="shared" ref="D10:E10" si="5">D4-D7</f>
        <v>649218</v>
      </c>
      <c r="E10" s="4">
        <f t="shared" si="5"/>
        <v>552712</v>
      </c>
      <c r="F10" s="5">
        <f>F4-F7</f>
        <v>574817.79947633087</v>
      </c>
      <c r="G10" s="5">
        <f t="shared" ref="G10:H10" si="6">G4-G7</f>
        <v>632305.90758397209</v>
      </c>
      <c r="H10" s="5">
        <f t="shared" si="6"/>
        <v>641050.75651971227</v>
      </c>
    </row>
    <row r="11" spans="2:9" x14ac:dyDescent="0.3">
      <c r="B11" s="7" t="s">
        <v>13</v>
      </c>
      <c r="C11" s="8">
        <f>C10/C4</f>
        <v>0.5197415913178598</v>
      </c>
      <c r="D11" s="8">
        <f t="shared" ref="D11:E11" si="7">D10/D4</f>
        <v>0.67428802891506201</v>
      </c>
      <c r="E11" s="8">
        <f t="shared" si="7"/>
        <v>0.52351057985565175</v>
      </c>
      <c r="F11" s="11">
        <f>F10/F4</f>
        <v>0.59701481011646085</v>
      </c>
      <c r="G11" s="11">
        <f t="shared" ref="G11:H11" si="8">G10/G4</f>
        <v>0.59889930438535688</v>
      </c>
      <c r="H11" s="11">
        <f t="shared" si="8"/>
        <v>0.5602626949860563</v>
      </c>
    </row>
    <row r="12" spans="2:9" x14ac:dyDescent="0.3">
      <c r="F12" s="10"/>
      <c r="G12" s="10"/>
      <c r="H12" s="10"/>
    </row>
    <row r="13" spans="2:9" x14ac:dyDescent="0.3">
      <c r="B13" t="s">
        <v>14</v>
      </c>
      <c r="C13" s="4">
        <f>IFERROR('[1]Data Sheet'!I23,0)</f>
        <v>77292</v>
      </c>
      <c r="D13" s="4">
        <f>IFERROR('[1]Data Sheet'!J23,0)</f>
        <v>88760</v>
      </c>
      <c r="E13" s="4">
        <f>IFERROR('[1]Data Sheet'!K23,0)</f>
        <v>104723</v>
      </c>
      <c r="F13" s="5">
        <f>F4*F14</f>
        <v>85767.591578137144</v>
      </c>
      <c r="G13" s="5">
        <f t="shared" ref="G13:H13" si="9">G4*G14</f>
        <v>101026.37650858934</v>
      </c>
      <c r="H13" s="5">
        <f t="shared" si="9"/>
        <v>107708.81386336983</v>
      </c>
    </row>
    <row r="14" spans="2:9" x14ac:dyDescent="0.3">
      <c r="B14" s="7" t="s">
        <v>15</v>
      </c>
      <c r="C14" s="8">
        <f>C13/C4</f>
        <v>8.5971607524017252E-2</v>
      </c>
      <c r="D14" s="8">
        <f t="shared" ref="D14:E14" si="10">D13/D4</f>
        <v>9.2187532456741661E-2</v>
      </c>
      <c r="E14" s="8">
        <f t="shared" si="10"/>
        <v>9.9190172194964857E-2</v>
      </c>
      <c r="F14" s="9">
        <f>AVERAGE(C14:D14)</f>
        <v>8.9079569990379456E-2</v>
      </c>
      <c r="G14" s="9">
        <f t="shared" ref="G14:H14" si="11">AVERAGE(D14:E14)</f>
        <v>9.5688852325853252E-2</v>
      </c>
      <c r="H14" s="9">
        <f t="shared" si="11"/>
        <v>9.4134871092672157E-2</v>
      </c>
      <c r="I14" s="12"/>
    </row>
    <row r="15" spans="2:9" x14ac:dyDescent="0.3">
      <c r="F15" s="10"/>
      <c r="G15" s="10"/>
      <c r="H15" s="10"/>
    </row>
    <row r="16" spans="2:9" x14ac:dyDescent="0.3">
      <c r="B16" t="s">
        <v>16</v>
      </c>
      <c r="C16" s="4">
        <f>C10-C13</f>
        <v>389977</v>
      </c>
      <c r="D16" s="4">
        <f t="shared" ref="D16:E16" si="12">D10-D13</f>
        <v>560458</v>
      </c>
      <c r="E16" s="4">
        <f t="shared" si="12"/>
        <v>447989</v>
      </c>
      <c r="F16" s="5">
        <f>F10-F13</f>
        <v>489050.20789819374</v>
      </c>
      <c r="G16" s="5">
        <f t="shared" ref="G16:H16" si="13">G10-G13</f>
        <v>531279.53107538272</v>
      </c>
      <c r="H16" s="5">
        <f t="shared" si="13"/>
        <v>533341.94265634241</v>
      </c>
    </row>
    <row r="17" spans="1:10" x14ac:dyDescent="0.3">
      <c r="B17" s="7" t="s">
        <v>17</v>
      </c>
      <c r="C17" s="8">
        <f>C16/C4</f>
        <v>0.43376998379384257</v>
      </c>
      <c r="D17" s="8">
        <f t="shared" ref="D17:E17" si="14">D16/D4</f>
        <v>0.5821004964583204</v>
      </c>
      <c r="E17" s="8">
        <f t="shared" si="14"/>
        <v>0.4243204076606869</v>
      </c>
      <c r="F17" s="11">
        <f>F16/F4</f>
        <v>0.50793524012608149</v>
      </c>
      <c r="G17" s="11">
        <f t="shared" ref="G17:H17" si="15">G16/G4</f>
        <v>0.50321045205950365</v>
      </c>
      <c r="H17" s="11">
        <f t="shared" si="15"/>
        <v>0.46612782389338414</v>
      </c>
    </row>
    <row r="18" spans="1:10" x14ac:dyDescent="0.3">
      <c r="F18" s="10"/>
      <c r="G18" s="10"/>
      <c r="H18" s="10"/>
    </row>
    <row r="19" spans="1:10" x14ac:dyDescent="0.3">
      <c r="B19" t="s">
        <v>18</v>
      </c>
      <c r="C19" s="4">
        <f>IFERROR('[1]Data Sheet'!I27,0)</f>
        <v>23118</v>
      </c>
      <c r="D19" s="4">
        <f>IFERROR('[1]Data Sheet'!J27,0)</f>
        <v>24269</v>
      </c>
      <c r="E19" s="4">
        <f>IFERROR('[1]Data Sheet'!K27,0)</f>
        <v>27061</v>
      </c>
      <c r="F19" s="5">
        <f>F4*F20</f>
        <v>24513.508721515482</v>
      </c>
      <c r="G19" s="5">
        <f t="shared" ref="G19:H19" si="16">G4*G20</f>
        <v>26836.582559564613</v>
      </c>
      <c r="H19" s="5">
        <f t="shared" si="16"/>
        <v>29229.30851275563</v>
      </c>
    </row>
    <row r="20" spans="1:10" x14ac:dyDescent="0.3">
      <c r="B20" s="7" t="s">
        <v>19</v>
      </c>
      <c r="C20" s="8">
        <f>C19/C4</f>
        <v>2.5714066433010285E-2</v>
      </c>
      <c r="D20" s="8">
        <f t="shared" ref="D20:E20" si="17">D19/D4</f>
        <v>2.5206165222990799E-2</v>
      </c>
      <c r="E20" s="8">
        <f t="shared" si="17"/>
        <v>2.5631286821118034E-2</v>
      </c>
      <c r="F20" s="9">
        <f>AVERAGE(C20:D20)</f>
        <v>2.5460115828000542E-2</v>
      </c>
      <c r="G20" s="9">
        <f t="shared" ref="G20:H20" si="18">AVERAGE(D20:E20)</f>
        <v>2.5418726022054416E-2</v>
      </c>
      <c r="H20" s="9">
        <f t="shared" si="18"/>
        <v>2.5545701324559286E-2</v>
      </c>
    </row>
    <row r="21" spans="1:10" x14ac:dyDescent="0.3">
      <c r="F21" s="10"/>
      <c r="G21" s="10"/>
      <c r="H21" s="10"/>
    </row>
    <row r="22" spans="1:10" x14ac:dyDescent="0.3">
      <c r="B22" t="s">
        <v>20</v>
      </c>
      <c r="C22" s="4">
        <f>IFERROR('[1]Data Sheet'!I26,0)</f>
        <v>50832</v>
      </c>
      <c r="D22" s="4">
        <f>IFERROR('[1]Data Sheet'!J26,0)</f>
        <v>53136</v>
      </c>
      <c r="E22" s="4">
        <f>IFERROR('[1]Data Sheet'!K26,0)</f>
        <v>57688</v>
      </c>
      <c r="F22" s="5">
        <f>F4*F23</f>
        <v>53787.040199501469</v>
      </c>
      <c r="G22" s="5">
        <f t="shared" ref="G22:H22" si="19">G4*G23</f>
        <v>57977.132922041499</v>
      </c>
      <c r="H22" s="5">
        <f t="shared" si="19"/>
        <v>63219.294837697438</v>
      </c>
    </row>
    <row r="23" spans="1:10" x14ac:dyDescent="0.3">
      <c r="B23" s="7" t="s">
        <v>21</v>
      </c>
      <c r="C23" s="8">
        <f>C22/C4</f>
        <v>5.6540246774062587E-2</v>
      </c>
      <c r="D23" s="8">
        <f t="shared" ref="D23:E23" si="20">D22/D4</f>
        <v>5.5187885586090855E-2</v>
      </c>
      <c r="E23" s="8">
        <f t="shared" si="20"/>
        <v>5.4640171247797839E-2</v>
      </c>
      <c r="F23" s="9">
        <f>AVERAGE(C23:D23)</f>
        <v>5.5864066180076721E-2</v>
      </c>
      <c r="G23" s="9">
        <f t="shared" ref="G23:H23" si="21">AVERAGE(D23:E23)</f>
        <v>5.4914028416944344E-2</v>
      </c>
      <c r="H23" s="9">
        <f t="shared" si="21"/>
        <v>5.525211871393728E-2</v>
      </c>
    </row>
    <row r="24" spans="1:10" x14ac:dyDescent="0.3">
      <c r="F24" s="10"/>
      <c r="G24" s="10"/>
      <c r="H24" s="10"/>
    </row>
    <row r="25" spans="1:10" x14ac:dyDescent="0.3">
      <c r="B25" t="s">
        <v>22</v>
      </c>
      <c r="C25" s="4">
        <f>IFERROR(C16-SUM(C19,C22),0)</f>
        <v>316027</v>
      </c>
      <c r="D25" s="4">
        <f t="shared" ref="D25:E25" si="22">IFERROR(D16-SUM(D19,D22),0)</f>
        <v>483053</v>
      </c>
      <c r="E25" s="4">
        <f t="shared" si="22"/>
        <v>363240</v>
      </c>
      <c r="F25" s="5">
        <f>IFERROR(F16-SUM(F19,F22),0)</f>
        <v>410749.65897717676</v>
      </c>
      <c r="G25" s="5">
        <f t="shared" ref="G25:H25" si="23">IFERROR(G16-SUM(G19,G22),0)</f>
        <v>446465.81559377664</v>
      </c>
      <c r="H25" s="5">
        <f t="shared" si="23"/>
        <v>440893.33930588933</v>
      </c>
    </row>
    <row r="26" spans="1:10" x14ac:dyDescent="0.3">
      <c r="B26" s="7" t="s">
        <v>23</v>
      </c>
      <c r="C26" s="8">
        <f>C25/C4</f>
        <v>0.35151567058676969</v>
      </c>
      <c r="D26" s="8">
        <f t="shared" ref="D26:E26" si="24">D25/D4</f>
        <v>0.50170644564923872</v>
      </c>
      <c r="E26" s="8">
        <f t="shared" si="24"/>
        <v>0.34404894959177101</v>
      </c>
      <c r="F26" s="11">
        <f>F25/F4</f>
        <v>0.42661105811800415</v>
      </c>
      <c r="G26" s="11">
        <f t="shared" ref="G26:H26" si="25">G25/G4</f>
        <v>0.42287769762050487</v>
      </c>
      <c r="H26" s="11">
        <f t="shared" si="25"/>
        <v>0.38533000385488753</v>
      </c>
    </row>
    <row r="27" spans="1:10" x14ac:dyDescent="0.3">
      <c r="F27" s="10"/>
      <c r="G27" s="10"/>
      <c r="H27" s="10"/>
    </row>
    <row r="28" spans="1:10" x14ac:dyDescent="0.3">
      <c r="B28" t="s">
        <v>24</v>
      </c>
      <c r="C28" s="4">
        <f>IFERROR('[1]Data Sheet'!I29,0)</f>
        <v>25707</v>
      </c>
      <c r="D28" s="4">
        <f>IFERROR('[1]Data Sheet'!J29,0)</f>
        <v>25230</v>
      </c>
      <c r="E28" s="4">
        <f>IFERROR('[1]Data Sheet'!K29,0)</f>
        <v>27552</v>
      </c>
      <c r="F28" s="5">
        <f>F4*F29</f>
        <v>64304.15256086913</v>
      </c>
      <c r="G28" s="5">
        <f t="shared" ref="G28:H28" si="26">G4*G29</f>
        <v>67612.663680078142</v>
      </c>
      <c r="H28" s="5">
        <f t="shared" si="26"/>
        <v>81602.957816127804</v>
      </c>
    </row>
    <row r="29" spans="1:10" x14ac:dyDescent="0.3">
      <c r="A29" s="7"/>
      <c r="B29" s="7" t="s">
        <v>25</v>
      </c>
      <c r="C29" s="8">
        <f>C28/C25</f>
        <v>8.1344315517345042E-2</v>
      </c>
      <c r="D29" s="8">
        <f t="shared" ref="D29:E29" si="27">D28/D25</f>
        <v>5.2230293570270758E-2</v>
      </c>
      <c r="E29" s="8">
        <f t="shared" si="27"/>
        <v>7.5850677238189626E-2</v>
      </c>
      <c r="F29" s="9">
        <f>AVERAGE(C29:D29)</f>
        <v>6.6787304543807907E-2</v>
      </c>
      <c r="G29" s="9">
        <f t="shared" ref="G29:H29" si="28">AVERAGE(D29:E29)</f>
        <v>6.4040485404230185E-2</v>
      </c>
      <c r="H29" s="9">
        <f t="shared" si="28"/>
        <v>7.1318990890998774E-2</v>
      </c>
    </row>
    <row r="30" spans="1:10" x14ac:dyDescent="0.3">
      <c r="F30" s="10"/>
      <c r="G30" s="10"/>
      <c r="H30" s="10"/>
    </row>
    <row r="31" spans="1:10" x14ac:dyDescent="0.3">
      <c r="B31" t="s">
        <v>26</v>
      </c>
      <c r="C31" s="4">
        <f>IFERROR((C25-C28),0)</f>
        <v>290320</v>
      </c>
      <c r="D31" s="4">
        <f t="shared" ref="D31:E31" si="29">IFERROR((D25-D28),0)</f>
        <v>457823</v>
      </c>
      <c r="E31" s="4">
        <f t="shared" si="29"/>
        <v>335688</v>
      </c>
      <c r="F31" s="5">
        <f>IFERROR((F25-F28),0)</f>
        <v>346445.50641630765</v>
      </c>
      <c r="G31" s="5">
        <f t="shared" ref="G31:H31" si="30">IFERROR((G25-G28),0)</f>
        <v>378853.15191369853</v>
      </c>
      <c r="H31" s="5">
        <f t="shared" si="30"/>
        <v>359290.38148976152</v>
      </c>
    </row>
    <row r="32" spans="1:10" x14ac:dyDescent="0.3">
      <c r="B32" s="7" t="s">
        <v>27</v>
      </c>
      <c r="C32" s="8">
        <f>C31/C4</f>
        <v>0.32292186896926839</v>
      </c>
      <c r="D32" s="8">
        <f t="shared" ref="D32:E32" si="31">D31/D4</f>
        <v>0.47550217070688189</v>
      </c>
      <c r="E32" s="8">
        <f t="shared" si="31"/>
        <v>0.3179526037621474</v>
      </c>
      <c r="F32" s="11">
        <f>F31/F4</f>
        <v>0.35982375357419627</v>
      </c>
      <c r="G32" s="11">
        <f t="shared" ref="G32:H32" si="32">G31/G4</f>
        <v>0.35883721221627474</v>
      </c>
      <c r="H32" s="11">
        <f t="shared" si="32"/>
        <v>0.31401101296388878</v>
      </c>
      <c r="J32" s="7"/>
    </row>
    <row r="33" spans="2:8" x14ac:dyDescent="0.3">
      <c r="F33" s="10"/>
      <c r="G33" s="10"/>
      <c r="H33" s="10"/>
    </row>
    <row r="34" spans="2:8" x14ac:dyDescent="0.3">
      <c r="B34" t="s">
        <v>28</v>
      </c>
      <c r="C34" s="13">
        <v>1353.14</v>
      </c>
      <c r="D34" s="13">
        <v>1353.24</v>
      </c>
      <c r="E34" s="13">
        <v>1353.25</v>
      </c>
      <c r="F34" s="14">
        <f>AVERAGE(C34:D34)</f>
        <v>1353.19</v>
      </c>
      <c r="G34" s="14">
        <f t="shared" ref="G34:H34" si="33">AVERAGE(D34:E34)</f>
        <v>1353.2449999999999</v>
      </c>
      <c r="H34" s="14">
        <f t="shared" si="33"/>
        <v>1353.22</v>
      </c>
    </row>
    <row r="35" spans="2:8" x14ac:dyDescent="0.3">
      <c r="F35" s="10"/>
      <c r="G35" s="10"/>
      <c r="H35" s="10"/>
    </row>
    <row r="36" spans="2:8" x14ac:dyDescent="0.3">
      <c r="B36" t="s">
        <v>29</v>
      </c>
      <c r="C36" s="4">
        <f>IFERROR(C31/C34,0)</f>
        <v>214.55281789024045</v>
      </c>
      <c r="D36" s="4">
        <f t="shared" ref="D36:E36" si="34">IFERROR(D31/D34,0)</f>
        <v>338.31618929384291</v>
      </c>
      <c r="E36" s="4">
        <f t="shared" si="34"/>
        <v>248.06059486421577</v>
      </c>
      <c r="F36" s="5">
        <f>IFERROR(F31/F34,0)</f>
        <v>256.02133212358029</v>
      </c>
      <c r="G36" s="5">
        <f t="shared" ref="G36:H36" si="35">IFERROR(G31/G34,0)</f>
        <v>279.95902583323681</v>
      </c>
      <c r="H36" s="5">
        <f t="shared" si="35"/>
        <v>265.50773820203773</v>
      </c>
    </row>
    <row r="37" spans="2:8" x14ac:dyDescent="0.3">
      <c r="B37" s="7" t="s">
        <v>30</v>
      </c>
      <c r="C37" s="7"/>
      <c r="D37" s="15">
        <f>IFERROR(D36/C36,0)</f>
        <v>1.5768433741425691</v>
      </c>
      <c r="E37" s="15">
        <f>IFERROR(E36/D36,0)</f>
        <v>0.73322117804053388</v>
      </c>
      <c r="F37" s="16">
        <f>AVERAGE(D37:E37)</f>
        <v>1.1550322760915515</v>
      </c>
      <c r="G37" s="16">
        <f t="shared" ref="G37:H37" si="36">AVERAGE(E37:F37)</f>
        <v>0.94412672706604273</v>
      </c>
      <c r="H37" s="16">
        <f t="shared" si="36"/>
        <v>1.0495795015787972</v>
      </c>
    </row>
    <row r="38" spans="2:8" x14ac:dyDescent="0.3">
      <c r="F38" s="10"/>
      <c r="G38" s="10"/>
      <c r="H38" s="10"/>
    </row>
    <row r="39" spans="2:8" x14ac:dyDescent="0.3">
      <c r="B39" t="s">
        <v>31</v>
      </c>
      <c r="C39" s="4">
        <f>IFERROR('[1]Data Sheet'!I31/'3 Statement Financial Model '!C34,0)</f>
        <v>5.0002217065492109</v>
      </c>
      <c r="D39" s="4">
        <f>IFERROR('[1]Data Sheet'!J31/'3 Statement Financial Model '!D34,0)</f>
        <v>5.4998374272117294</v>
      </c>
      <c r="E39" s="4">
        <f>IFERROR('[1]Data Sheet'!K31/'3 Statement Financial Model '!E34,0)</f>
        <v>5.9997783114723813</v>
      </c>
      <c r="F39" s="5">
        <f>F36*F40</f>
        <v>5.0643348192763815</v>
      </c>
      <c r="G39" s="5">
        <f t="shared" ref="G39:H39" si="37">G36*G40</f>
        <v>5.6612258351523268</v>
      </c>
      <c r="H39" s="5">
        <f t="shared" si="37"/>
        <v>5.8368762377770116</v>
      </c>
    </row>
    <row r="40" spans="2:8" x14ac:dyDescent="0.3">
      <c r="B40" s="7" t="s">
        <v>32</v>
      </c>
      <c r="C40" s="8">
        <f>IFERROR(C39/C36,0)</f>
        <v>2.330531826949573E-2</v>
      </c>
      <c r="D40" s="8">
        <f t="shared" ref="D40:E40" si="38">IFERROR(D39/D36,0)</f>
        <v>1.6256500874792225E-2</v>
      </c>
      <c r="E40" s="8">
        <f t="shared" si="38"/>
        <v>2.4186744834489168E-2</v>
      </c>
      <c r="F40" s="9">
        <f>AVERAGE(C40:D40)</f>
        <v>1.9780909572143977E-2</v>
      </c>
      <c r="G40" s="9">
        <f t="shared" ref="G40:H40" si="39">AVERAGE(D40:E40)</f>
        <v>2.0221622854640697E-2</v>
      </c>
      <c r="H40" s="9">
        <f t="shared" si="39"/>
        <v>2.1983827203316573E-2</v>
      </c>
    </row>
    <row r="41" spans="2:8" x14ac:dyDescent="0.3">
      <c r="B41" s="7" t="s">
        <v>33</v>
      </c>
      <c r="C41" s="17">
        <f>C39*C34</f>
        <v>6766</v>
      </c>
      <c r="D41" s="17">
        <f t="shared" ref="D41:H41" si="40">D39*D34</f>
        <v>7442.6</v>
      </c>
      <c r="E41" s="17">
        <f t="shared" si="40"/>
        <v>8119.2</v>
      </c>
      <c r="F41" s="17">
        <f t="shared" si="40"/>
        <v>6853.0072340966071</v>
      </c>
      <c r="G41" s="17">
        <f t="shared" si="40"/>
        <v>7661.0255552907101</v>
      </c>
      <c r="H41" s="17">
        <f t="shared" si="40"/>
        <v>7898.5776624846076</v>
      </c>
    </row>
    <row r="42" spans="2:8" x14ac:dyDescent="0.3">
      <c r="F42" s="10"/>
      <c r="G42" s="10"/>
      <c r="H42" s="10"/>
    </row>
    <row r="43" spans="2:8" x14ac:dyDescent="0.3">
      <c r="B43" t="s">
        <v>34</v>
      </c>
      <c r="C43" s="18">
        <f>IFERROR(IF(C36&gt;C39,1-C40,0),0)</f>
        <v>0.97669468173050422</v>
      </c>
      <c r="D43" s="18">
        <f t="shared" ref="D43:E43" si="41">IFERROR(IF(D36&gt;D39,1-D40,0),0)</f>
        <v>0.98374349912520775</v>
      </c>
      <c r="E43" s="18">
        <f t="shared" si="41"/>
        <v>0.97581325516551087</v>
      </c>
      <c r="F43" s="19">
        <f>IFERROR(IF(F36&gt;F39,1-F40,0),0)</f>
        <v>0.98021909042785604</v>
      </c>
      <c r="G43" s="19">
        <f t="shared" ref="G43:H43" si="42">IFERROR(IF(G36&gt;G39,1-G40,0),0)</f>
        <v>0.97977837714535931</v>
      </c>
      <c r="H43" s="19">
        <f t="shared" si="42"/>
        <v>0.9780161727966834</v>
      </c>
    </row>
    <row r="44" spans="2:8" x14ac:dyDescent="0.3">
      <c r="B44" t="s">
        <v>35</v>
      </c>
      <c r="C44" s="4">
        <f>C31-C41</f>
        <v>283554</v>
      </c>
      <c r="D44" s="4">
        <f t="shared" ref="D44:H44" si="43">D31-D41</f>
        <v>450380.4</v>
      </c>
      <c r="E44" s="4">
        <f t="shared" si="43"/>
        <v>327568.8</v>
      </c>
      <c r="F44" s="4">
        <f t="shared" si="43"/>
        <v>339592.49918221106</v>
      </c>
      <c r="G44" s="4">
        <f t="shared" si="43"/>
        <v>371192.12635840784</v>
      </c>
      <c r="H44" s="4">
        <f t="shared" si="43"/>
        <v>351391.80382727692</v>
      </c>
    </row>
    <row r="46" spans="2:8" x14ac:dyDescent="0.3">
      <c r="B46" s="20" t="s">
        <v>36</v>
      </c>
      <c r="C46" s="21"/>
      <c r="D46" s="21"/>
      <c r="E46" s="21"/>
      <c r="F46" s="21"/>
      <c r="G46" s="21"/>
      <c r="H46" s="21"/>
    </row>
    <row r="47" spans="2:8" x14ac:dyDescent="0.3">
      <c r="B47" s="3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</row>
    <row r="48" spans="2:8" x14ac:dyDescent="0.3">
      <c r="B48" t="s">
        <v>37</v>
      </c>
      <c r="C48" s="4">
        <v>6766</v>
      </c>
      <c r="D48" s="4">
        <v>13532</v>
      </c>
      <c r="E48" s="4">
        <v>13532</v>
      </c>
      <c r="F48" s="22">
        <v>13532</v>
      </c>
      <c r="G48" s="22">
        <v>13532</v>
      </c>
      <c r="H48" s="22">
        <v>13532</v>
      </c>
    </row>
    <row r="49" spans="2:8" x14ac:dyDescent="0.3">
      <c r="B49" t="s">
        <v>38</v>
      </c>
      <c r="C49" s="4">
        <v>786715</v>
      </c>
      <c r="D49" s="4">
        <v>829668</v>
      </c>
      <c r="E49" s="4">
        <v>890498</v>
      </c>
      <c r="F49" s="22">
        <f>E49+F44</f>
        <v>1230090.499182211</v>
      </c>
      <c r="G49" s="22">
        <f t="shared" ref="G49:H49" si="44">F49+G44</f>
        <v>1601282.6255406188</v>
      </c>
      <c r="H49" s="22">
        <f t="shared" si="44"/>
        <v>1952674.4293678957</v>
      </c>
    </row>
    <row r="50" spans="2:8" x14ac:dyDescent="0.3">
      <c r="B50" s="23" t="s">
        <v>39</v>
      </c>
      <c r="C50" s="4">
        <v>350719</v>
      </c>
      <c r="D50" s="4">
        <v>374313</v>
      </c>
      <c r="E50" s="4">
        <v>402962</v>
      </c>
      <c r="F50" s="22">
        <v>402962</v>
      </c>
      <c r="G50" s="22">
        <v>402962</v>
      </c>
      <c r="H50" s="22">
        <v>402962</v>
      </c>
    </row>
    <row r="51" spans="2:8" ht="15" thickBot="1" x14ac:dyDescent="0.35">
      <c r="B51" s="23" t="s">
        <v>40</v>
      </c>
      <c r="C51" s="4">
        <v>610848</v>
      </c>
      <c r="D51" s="4">
        <v>732200</v>
      </c>
      <c r="E51" s="4">
        <v>870554</v>
      </c>
      <c r="F51" s="22">
        <f>IFERROR(C51/C4*F4,0)</f>
        <v>654182.25793929317</v>
      </c>
      <c r="G51" s="22">
        <f>IFERROR(D51/D4*G4,0)</f>
        <v>802893.70391142683</v>
      </c>
      <c r="H51" s="22">
        <f>IFERROR(E51/E4*H4,0)</f>
        <v>943458.92160340527</v>
      </c>
    </row>
    <row r="52" spans="2:8" ht="15" thickBot="1" x14ac:dyDescent="0.35">
      <c r="B52" s="24" t="s">
        <v>41</v>
      </c>
      <c r="C52" s="25">
        <f>SUM(C48:C51)</f>
        <v>1755048</v>
      </c>
      <c r="D52" s="25">
        <v>1949713</v>
      </c>
      <c r="E52" s="25">
        <v>2177546</v>
      </c>
      <c r="F52" s="26">
        <f>SUM(F48:F51)</f>
        <v>2300766.7571215043</v>
      </c>
      <c r="G52" s="26">
        <f t="shared" ref="G52:H52" si="45">SUM(G48:G51)</f>
        <v>2820670.3294520457</v>
      </c>
      <c r="H52" s="26">
        <f t="shared" si="45"/>
        <v>3312627.3509713011</v>
      </c>
    </row>
    <row r="53" spans="2:8" x14ac:dyDescent="0.3">
      <c r="B53" s="23" t="s">
        <v>42</v>
      </c>
      <c r="C53" s="4">
        <v>779985</v>
      </c>
      <c r="D53" s="4">
        <v>999393</v>
      </c>
      <c r="E53" s="4">
        <v>1124795</v>
      </c>
      <c r="F53" s="22">
        <v>1124795</v>
      </c>
      <c r="G53" s="22">
        <f>F53+(G22*115%)-G22</f>
        <v>1133491.5699383062</v>
      </c>
      <c r="H53" s="22">
        <f>G53+(H22*115%)-H22</f>
        <v>1142974.4641639609</v>
      </c>
    </row>
    <row r="54" spans="2:8" x14ac:dyDescent="0.3">
      <c r="B54" s="23" t="s">
        <v>43</v>
      </c>
      <c r="C54" s="4">
        <v>338855</v>
      </c>
      <c r="D54" s="4">
        <v>262358</v>
      </c>
      <c r="E54" s="4">
        <v>237686</v>
      </c>
      <c r="F54" s="22">
        <v>237686</v>
      </c>
      <c r="G54" s="22">
        <v>237686</v>
      </c>
      <c r="H54" s="22">
        <v>237686</v>
      </c>
    </row>
    <row r="55" spans="2:8" x14ac:dyDescent="0.3">
      <c r="B55" s="23" t="s">
        <v>44</v>
      </c>
      <c r="C55" s="4">
        <v>225672</v>
      </c>
      <c r="D55" s="4">
        <v>242381</v>
      </c>
      <c r="E55" s="4">
        <v>248332</v>
      </c>
      <c r="F55" s="22">
        <v>248332</v>
      </c>
      <c r="G55" s="22">
        <v>248332</v>
      </c>
      <c r="H55" s="22">
        <v>248332</v>
      </c>
    </row>
    <row r="56" spans="2:8" ht="15" thickBot="1" x14ac:dyDescent="0.35">
      <c r="B56" s="23" t="s">
        <v>45</v>
      </c>
      <c r="C56" s="4">
        <v>410536</v>
      </c>
      <c r="D56" s="4">
        <v>445581</v>
      </c>
      <c r="E56" s="4">
        <v>566733</v>
      </c>
      <c r="F56" s="22">
        <f>(F52 - F53-F54-F55-F58-F59-F60)</f>
        <v>162805.33014880383</v>
      </c>
      <c r="G56" s="22">
        <f t="shared" ref="G56:H56" si="46">(G52 - G53-G54-G55-G58-G59-G60)</f>
        <v>455734.94460021949</v>
      </c>
      <c r="H56" s="22">
        <f t="shared" si="46"/>
        <v>701056.16076212656</v>
      </c>
    </row>
    <row r="57" spans="2:8" ht="15" thickBot="1" x14ac:dyDescent="0.35">
      <c r="B57" s="27" t="s">
        <v>46</v>
      </c>
      <c r="C57" s="25">
        <f>SUM(C53:C56)</f>
        <v>1755048</v>
      </c>
      <c r="D57" s="25">
        <v>1949713</v>
      </c>
      <c r="E57" s="25">
        <v>2177546</v>
      </c>
      <c r="F57" s="26">
        <f>SUM(F53:F56)</f>
        <v>1773618.3301488038</v>
      </c>
      <c r="G57" s="26">
        <f t="shared" ref="G57:H57" si="47">SUM(G53:G56)</f>
        <v>2075244.5145385256</v>
      </c>
      <c r="H57" s="26">
        <f t="shared" si="47"/>
        <v>2330048.6249260874</v>
      </c>
    </row>
    <row r="58" spans="2:8" x14ac:dyDescent="0.3">
      <c r="B58" s="23" t="s">
        <v>47</v>
      </c>
      <c r="C58" s="4">
        <v>31628</v>
      </c>
      <c r="D58" s="4">
        <v>42121</v>
      </c>
      <c r="E58" s="4">
        <v>58491</v>
      </c>
      <c r="F58" s="22">
        <f>IFERROR((C58/C4*365)*F4/365,0)</f>
        <v>33871.726606461772</v>
      </c>
      <c r="G58" s="22">
        <f t="shared" ref="G58:H58" si="48">IFERROR((D58/D4*365)*G4/365,0)</f>
        <v>46187.770694418476</v>
      </c>
      <c r="H58" s="22">
        <f t="shared" si="48"/>
        <v>63389.354116464659</v>
      </c>
    </row>
    <row r="59" spans="2:8" x14ac:dyDescent="0.3">
      <c r="B59" s="23" t="s">
        <v>48</v>
      </c>
      <c r="C59" s="4">
        <v>152770</v>
      </c>
      <c r="D59" s="4">
        <v>146062</v>
      </c>
      <c r="E59" s="4">
        <v>166941</v>
      </c>
      <c r="F59" s="22">
        <f>IFERROR((C59/C4*365)*F4/365,0)</f>
        <v>163607.67907136603</v>
      </c>
      <c r="G59" s="22">
        <f t="shared" ref="G59:H59" si="49">IFERROR((D59/D4*365)*G4/365,0)</f>
        <v>160164.2449886791</v>
      </c>
      <c r="H59" s="22">
        <f t="shared" si="49"/>
        <v>180921.54631578753</v>
      </c>
    </row>
    <row r="60" spans="2:8" ht="15" thickBot="1" x14ac:dyDescent="0.35">
      <c r="B60" s="28" t="s">
        <v>49</v>
      </c>
      <c r="C60" s="4">
        <v>97225</v>
      </c>
      <c r="D60" s="4">
        <v>106502</v>
      </c>
      <c r="E60" s="4">
        <v>145977</v>
      </c>
      <c r="F60" s="22">
        <f>F71</f>
        <v>329669.02129487263</v>
      </c>
      <c r="G60" s="22">
        <f t="shared" ref="G60:H60" si="50">G71</f>
        <v>539073.79923042236</v>
      </c>
      <c r="H60" s="22">
        <f t="shared" si="50"/>
        <v>738267.82561296131</v>
      </c>
    </row>
    <row r="61" spans="2:8" ht="15" thickBot="1" x14ac:dyDescent="0.35">
      <c r="B61" s="29" t="s">
        <v>50</v>
      </c>
      <c r="C61" s="25">
        <f>SUM(C58:C60)</f>
        <v>281623</v>
      </c>
      <c r="D61" s="25">
        <f t="shared" ref="D61:E61" si="51">SUM(D58:D60)</f>
        <v>294685</v>
      </c>
      <c r="E61" s="25">
        <f t="shared" si="51"/>
        <v>371409</v>
      </c>
      <c r="F61" s="26">
        <f>SUM(F58:F60)</f>
        <v>527148.4269727004</v>
      </c>
      <c r="G61" s="26">
        <f t="shared" ref="G61:H61" si="52">SUM(G58:G60)</f>
        <v>745425.81491351989</v>
      </c>
      <c r="H61" s="26">
        <f t="shared" si="52"/>
        <v>982578.72604521352</v>
      </c>
    </row>
    <row r="62" spans="2:8" ht="15" thickBot="1" x14ac:dyDescent="0.35">
      <c r="B62" s="30" t="s">
        <v>51</v>
      </c>
      <c r="C62" s="31">
        <f>SUM(C57,C61)</f>
        <v>2036671</v>
      </c>
      <c r="D62" s="31">
        <f t="shared" ref="D62:E62" si="53">SUM(D57,D61)</f>
        <v>2244398</v>
      </c>
      <c r="E62" s="31">
        <f t="shared" si="53"/>
        <v>2548955</v>
      </c>
      <c r="F62" s="32">
        <f>SUM(F57,F61)</f>
        <v>2300766.7571215043</v>
      </c>
      <c r="G62" s="32">
        <f t="shared" ref="G62:H62" si="54">SUM(G57,G61)</f>
        <v>2820670.3294520453</v>
      </c>
      <c r="H62" s="32">
        <f t="shared" si="54"/>
        <v>3312627.3509713011</v>
      </c>
    </row>
    <row r="65" spans="2:8" x14ac:dyDescent="0.3">
      <c r="B65" s="20" t="s">
        <v>52</v>
      </c>
      <c r="C65" s="20"/>
      <c r="D65" s="20"/>
      <c r="E65" s="20"/>
      <c r="F65" s="20"/>
      <c r="G65" s="20"/>
      <c r="H65" s="20"/>
    </row>
    <row r="66" spans="2:8" x14ac:dyDescent="0.3">
      <c r="B66" s="3" t="s">
        <v>1</v>
      </c>
      <c r="C66" s="3" t="s">
        <v>2</v>
      </c>
      <c r="D66" s="3" t="s">
        <v>3</v>
      </c>
      <c r="E66" s="3" t="s">
        <v>4</v>
      </c>
      <c r="F66" s="3" t="s">
        <v>5</v>
      </c>
      <c r="G66" s="3" t="s">
        <v>6</v>
      </c>
      <c r="H66" s="3" t="s">
        <v>7</v>
      </c>
    </row>
    <row r="67" spans="2:8" x14ac:dyDescent="0.3">
      <c r="B67" s="23" t="s">
        <v>53</v>
      </c>
      <c r="C67">
        <v>158788</v>
      </c>
      <c r="D67">
        <v>178703</v>
      </c>
      <c r="E67">
        <v>192113</v>
      </c>
      <c r="F67" s="4">
        <f>F31*55%</f>
        <v>190545.02852896921</v>
      </c>
      <c r="G67" s="4">
        <f t="shared" ref="G67:H67" si="55">G31*55%</f>
        <v>208369.23355253422</v>
      </c>
      <c r="H67" s="4">
        <f t="shared" si="55"/>
        <v>197609.70981936884</v>
      </c>
    </row>
    <row r="68" spans="2:8" x14ac:dyDescent="0.3">
      <c r="B68" s="23" t="s">
        <v>54</v>
      </c>
      <c r="C68" s="33">
        <v>-113581</v>
      </c>
      <c r="D68" s="33">
        <v>-137535</v>
      </c>
      <c r="E68" s="33">
        <v>-101089</v>
      </c>
      <c r="F68" s="4">
        <f>(F53-E53)-(F55-E55)</f>
        <v>0</v>
      </c>
      <c r="G68" s="4">
        <f t="shared" ref="G68:H68" si="56">(G53-F53)-(G55-F55)</f>
        <v>8696.5699383062311</v>
      </c>
      <c r="H68" s="4">
        <f t="shared" si="56"/>
        <v>9482.8942256546579</v>
      </c>
    </row>
    <row r="69" spans="2:8" ht="15" thickBot="1" x14ac:dyDescent="0.35">
      <c r="B69" s="23" t="s">
        <v>55</v>
      </c>
      <c r="C69" s="33">
        <v>-16646</v>
      </c>
      <c r="D69" s="33">
        <v>-31891</v>
      </c>
      <c r="E69" s="33">
        <v>-51549</v>
      </c>
      <c r="F69" s="4">
        <f>(F50-E50)-F41</f>
        <v>-6853.0072340966071</v>
      </c>
      <c r="G69" s="4">
        <f t="shared" ref="G69:H69" si="57">(G50-F50)-G41</f>
        <v>-7661.0255552907101</v>
      </c>
      <c r="H69" s="4">
        <f t="shared" si="57"/>
        <v>-7898.5776624846076</v>
      </c>
    </row>
    <row r="70" spans="2:8" ht="15" thickBot="1" x14ac:dyDescent="0.35">
      <c r="B70" s="30" t="s">
        <v>56</v>
      </c>
      <c r="C70" s="34">
        <f>SUM(C67:C69)</f>
        <v>28561</v>
      </c>
      <c r="D70" s="34">
        <f t="shared" ref="D70:E70" si="58">SUM(D67:D69)</f>
        <v>9277</v>
      </c>
      <c r="E70" s="34">
        <f t="shared" si="58"/>
        <v>39475</v>
      </c>
      <c r="F70" s="35">
        <f>SUM(F67:F69)</f>
        <v>183692.0212948726</v>
      </c>
      <c r="G70" s="35">
        <f t="shared" ref="G70:H70" si="59">SUM(G67:G69)</f>
        <v>209404.77793554973</v>
      </c>
      <c r="H70" s="35">
        <f t="shared" si="59"/>
        <v>199194.0263825389</v>
      </c>
    </row>
    <row r="71" spans="2:8" x14ac:dyDescent="0.3">
      <c r="B71" s="36" t="s">
        <v>57</v>
      </c>
      <c r="F71" s="4">
        <f>E60+F70</f>
        <v>329669.02129487263</v>
      </c>
      <c r="G71" s="4">
        <f>F71+G70</f>
        <v>539073.79923042236</v>
      </c>
      <c r="H71" s="4">
        <f>G71+H70</f>
        <v>738267.82561296131</v>
      </c>
    </row>
    <row r="74" spans="2:8" x14ac:dyDescent="0.3">
      <c r="B74" s="37" t="s">
        <v>58</v>
      </c>
      <c r="C74" s="38"/>
      <c r="E74" s="37" t="s">
        <v>59</v>
      </c>
      <c r="F74" s="38"/>
    </row>
    <row r="75" spans="2:8" x14ac:dyDescent="0.3">
      <c r="B75" s="39"/>
      <c r="E75" s="39"/>
    </row>
    <row r="76" spans="2:8" x14ac:dyDescent="0.3">
      <c r="B76" t="s">
        <v>60</v>
      </c>
      <c r="C76" s="12">
        <v>6.8000000000000005E-2</v>
      </c>
      <c r="E76" t="s">
        <v>61</v>
      </c>
      <c r="G76" s="4">
        <f>E19</f>
        <v>27061</v>
      </c>
    </row>
    <row r="77" spans="2:8" x14ac:dyDescent="0.3">
      <c r="B77" t="s">
        <v>62</v>
      </c>
      <c r="C77" s="12">
        <v>0.06</v>
      </c>
      <c r="E77" t="s">
        <v>63</v>
      </c>
      <c r="G77" s="4">
        <f>E50</f>
        <v>402962</v>
      </c>
    </row>
    <row r="78" spans="2:8" ht="16.2" x14ac:dyDescent="0.3">
      <c r="B78" t="s">
        <v>64</v>
      </c>
      <c r="C78" s="39">
        <v>1.1499999999999999</v>
      </c>
      <c r="E78" s="40" t="s">
        <v>59</v>
      </c>
      <c r="F78" s="40"/>
      <c r="G78" s="18">
        <f>G76/G77</f>
        <v>6.7155215628272646E-2</v>
      </c>
    </row>
    <row r="79" spans="2:8" x14ac:dyDescent="0.3">
      <c r="B79" s="40" t="s">
        <v>58</v>
      </c>
      <c r="C79" s="41">
        <f>C76+(C78*C77)</f>
        <v>0.13700000000000001</v>
      </c>
    </row>
    <row r="82" spans="2:5" x14ac:dyDescent="0.3">
      <c r="B82" s="37" t="s">
        <v>65</v>
      </c>
      <c r="C82" s="38"/>
      <c r="D82" s="38"/>
      <c r="E82" s="42" t="s">
        <v>66</v>
      </c>
    </row>
    <row r="83" spans="2:5" x14ac:dyDescent="0.3">
      <c r="B83" s="39"/>
    </row>
    <row r="84" spans="2:5" x14ac:dyDescent="0.3">
      <c r="B84" t="s">
        <v>67</v>
      </c>
      <c r="E84" s="43">
        <f>E50</f>
        <v>402962</v>
      </c>
    </row>
    <row r="85" spans="2:5" x14ac:dyDescent="0.3">
      <c r="B85" t="s">
        <v>68</v>
      </c>
      <c r="E85" s="44">
        <v>1777700</v>
      </c>
    </row>
    <row r="86" spans="2:5" x14ac:dyDescent="0.3">
      <c r="B86" s="40" t="s">
        <v>69</v>
      </c>
      <c r="C86" s="40"/>
      <c r="D86" s="40"/>
      <c r="E86" s="45">
        <f>E84+E85</f>
        <v>2180662</v>
      </c>
    </row>
    <row r="87" spans="2:5" x14ac:dyDescent="0.3">
      <c r="B87" t="s">
        <v>70</v>
      </c>
      <c r="E87" s="18">
        <f>E85/E86</f>
        <v>0.81521116064754651</v>
      </c>
    </row>
    <row r="88" spans="2:5" ht="15" thickBot="1" x14ac:dyDescent="0.35">
      <c r="B88" t="s">
        <v>71</v>
      </c>
      <c r="E88" s="18">
        <f>E84/E86</f>
        <v>0.18478883935245352</v>
      </c>
    </row>
    <row r="89" spans="2:5" x14ac:dyDescent="0.3">
      <c r="B89" s="46" t="s">
        <v>72</v>
      </c>
      <c r="C89" s="46"/>
      <c r="D89" s="46"/>
      <c r="E89" s="47">
        <f>(E87*C79)+(E88*G78*(1-25%))</f>
        <v>0.12099107977302306</v>
      </c>
    </row>
    <row r="91" spans="2:5" x14ac:dyDescent="0.3">
      <c r="B91" s="20" t="s">
        <v>73</v>
      </c>
      <c r="C91" s="20"/>
      <c r="D91" s="20"/>
      <c r="E91" s="20"/>
    </row>
    <row r="92" spans="2:5" x14ac:dyDescent="0.3">
      <c r="B92" s="3" t="s">
        <v>1</v>
      </c>
      <c r="C92" s="3" t="s">
        <v>5</v>
      </c>
      <c r="D92" s="3" t="s">
        <v>6</v>
      </c>
      <c r="E92" s="3" t="s">
        <v>7</v>
      </c>
    </row>
    <row r="93" spans="2:5" x14ac:dyDescent="0.3">
      <c r="B93" t="s">
        <v>74</v>
      </c>
      <c r="C93" s="4">
        <f>F16-F22</f>
        <v>435263.1676986923</v>
      </c>
      <c r="D93" s="4">
        <f t="shared" ref="D93:E93" si="60">G16-G22</f>
        <v>473302.3981533412</v>
      </c>
      <c r="E93" s="4">
        <f t="shared" si="60"/>
        <v>470122.647818645</v>
      </c>
    </row>
    <row r="94" spans="2:5" x14ac:dyDescent="0.3">
      <c r="B94" t="s">
        <v>24</v>
      </c>
      <c r="C94" s="4">
        <f>C93*25%</f>
        <v>108815.79192467307</v>
      </c>
      <c r="D94" s="4">
        <f t="shared" ref="D94:E94" si="61">D93*25%</f>
        <v>118325.5995383353</v>
      </c>
      <c r="E94" s="4">
        <f t="shared" si="61"/>
        <v>117530.66195466125</v>
      </c>
    </row>
    <row r="95" spans="2:5" x14ac:dyDescent="0.3">
      <c r="B95" t="s">
        <v>75</v>
      </c>
      <c r="C95" s="4">
        <f>C93-C94</f>
        <v>326447.37577401922</v>
      </c>
      <c r="D95" s="4">
        <f t="shared" ref="D95:E95" si="62">D93-D94</f>
        <v>354976.79861500592</v>
      </c>
      <c r="E95" s="4">
        <f t="shared" si="62"/>
        <v>352591.98586398375</v>
      </c>
    </row>
    <row r="96" spans="2:5" x14ac:dyDescent="0.3">
      <c r="B96" t="s">
        <v>20</v>
      </c>
      <c r="C96" s="4">
        <f>F22</f>
        <v>53787.040199501469</v>
      </c>
      <c r="D96" s="4">
        <f t="shared" ref="D96:E96" si="63">G22</f>
        <v>57977.132922041499</v>
      </c>
      <c r="E96" s="4">
        <f t="shared" si="63"/>
        <v>63219.294837697438</v>
      </c>
    </row>
    <row r="97" spans="2:5" x14ac:dyDescent="0.3">
      <c r="B97" t="s">
        <v>76</v>
      </c>
      <c r="C97" s="4">
        <f>(F53-E53)+F22</f>
        <v>53787.040199501469</v>
      </c>
      <c r="D97" s="4">
        <f t="shared" ref="D97:E97" si="64">(G53-F53)+G22</f>
        <v>66673.702860347723</v>
      </c>
      <c r="E97" s="4">
        <f t="shared" si="64"/>
        <v>72702.189063352096</v>
      </c>
    </row>
    <row r="98" spans="2:5" ht="15" thickBot="1" x14ac:dyDescent="0.35">
      <c r="B98" t="s">
        <v>77</v>
      </c>
      <c r="C98" s="4">
        <f>F4*1%</f>
        <v>9628.2000000000007</v>
      </c>
      <c r="D98" s="4">
        <f t="shared" ref="D98:E98" si="65">G4*1%</f>
        <v>10557.800000000001</v>
      </c>
      <c r="E98" s="4">
        <f t="shared" si="65"/>
        <v>11441.967531599916</v>
      </c>
    </row>
    <row r="99" spans="2:5" x14ac:dyDescent="0.3">
      <c r="B99" s="48" t="s">
        <v>73</v>
      </c>
      <c r="C99" s="49">
        <f>C95+C96-C97-C98</f>
        <v>316819.17577401927</v>
      </c>
      <c r="D99" s="49">
        <f t="shared" ref="D99:E99" si="66">D95+D96-D97-D98</f>
        <v>335722.4286766997</v>
      </c>
      <c r="E99" s="49">
        <f t="shared" si="66"/>
        <v>331667.12410672917</v>
      </c>
    </row>
    <row r="101" spans="2:5" x14ac:dyDescent="0.3">
      <c r="B101" s="20" t="s">
        <v>78</v>
      </c>
      <c r="C101" s="21"/>
      <c r="D101" s="21"/>
      <c r="E101" s="21"/>
    </row>
    <row r="102" spans="2:5" x14ac:dyDescent="0.3">
      <c r="B102" s="3" t="s">
        <v>1</v>
      </c>
      <c r="C102" s="50" t="s">
        <v>79</v>
      </c>
      <c r="D102" s="50" t="s">
        <v>80</v>
      </c>
      <c r="E102" s="50" t="s">
        <v>81</v>
      </c>
    </row>
    <row r="103" spans="2:5" ht="15" thickBot="1" x14ac:dyDescent="0.35">
      <c r="B103" t="s">
        <v>78</v>
      </c>
      <c r="C103" s="51">
        <f>C99/(1+E89)^1</f>
        <v>282624.1720301364</v>
      </c>
      <c r="D103" s="51">
        <f>D99/(1+E89)^2</f>
        <v>267162.83463992272</v>
      </c>
      <c r="E103" s="51">
        <f>E99/(1+E89)^3</f>
        <v>235448.51454871584</v>
      </c>
    </row>
    <row r="104" spans="2:5" x14ac:dyDescent="0.3">
      <c r="B104" s="52" t="s">
        <v>82</v>
      </c>
      <c r="C104" s="56">
        <f>C103+D103+E103</f>
        <v>785235.52121877507</v>
      </c>
      <c r="D104" s="56"/>
      <c r="E104" s="56"/>
    </row>
    <row r="106" spans="2:5" x14ac:dyDescent="0.3">
      <c r="B106" s="20" t="s">
        <v>83</v>
      </c>
      <c r="C106" s="21"/>
    </row>
    <row r="107" spans="2:5" x14ac:dyDescent="0.3">
      <c r="B107" s="3" t="s">
        <v>1</v>
      </c>
      <c r="C107" s="50" t="s">
        <v>84</v>
      </c>
    </row>
    <row r="108" spans="2:5" x14ac:dyDescent="0.3">
      <c r="B108" t="s">
        <v>85</v>
      </c>
      <c r="C108" s="51">
        <f>(E99*(1+4.5%)/(E89-4.5%))</f>
        <v>4560958.282561115</v>
      </c>
    </row>
    <row r="109" spans="2:5" x14ac:dyDescent="0.3">
      <c r="B109" t="s">
        <v>86</v>
      </c>
      <c r="C109" s="51">
        <f>C108 / (1+E89) ^3</f>
        <v>3237797.0998479468</v>
      </c>
    </row>
    <row r="111" spans="2:5" x14ac:dyDescent="0.3">
      <c r="B111" s="21" t="s">
        <v>87</v>
      </c>
      <c r="C111" s="21"/>
    </row>
    <row r="112" spans="2:5" x14ac:dyDescent="0.3">
      <c r="B112" s="3" t="s">
        <v>1</v>
      </c>
      <c r="C112" s="50" t="s">
        <v>84</v>
      </c>
    </row>
    <row r="113" spans="2:3" x14ac:dyDescent="0.3">
      <c r="B113" t="s">
        <v>88</v>
      </c>
      <c r="C113" s="4">
        <f>C104+C109</f>
        <v>4023032.6210667221</v>
      </c>
    </row>
    <row r="114" spans="2:3" ht="15" thickBot="1" x14ac:dyDescent="0.35">
      <c r="B114" t="s">
        <v>89</v>
      </c>
      <c r="C114" s="4">
        <f>E50-E60</f>
        <v>256985</v>
      </c>
    </row>
    <row r="115" spans="2:3" ht="15" thickBot="1" x14ac:dyDescent="0.35">
      <c r="B115" s="52" t="s">
        <v>90</v>
      </c>
      <c r="C115" s="53">
        <f>C113-C114</f>
        <v>3766047.6210667221</v>
      </c>
    </row>
    <row r="116" spans="2:3" x14ac:dyDescent="0.3">
      <c r="B116" s="54" t="s">
        <v>91</v>
      </c>
      <c r="C116" s="55">
        <f>C115/E34</f>
        <v>2782.965173520578</v>
      </c>
    </row>
  </sheetData>
  <mergeCells count="1">
    <mergeCell ref="C104:E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Statement Financial Model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Sharma</dc:creator>
  <cp:lastModifiedBy>Harshita Sharma</cp:lastModifiedBy>
  <dcterms:created xsi:type="dcterms:W3CDTF">2026-08-22T15:19:48Z</dcterms:created>
  <dcterms:modified xsi:type="dcterms:W3CDTF">2026-08-24T07:46:30Z</dcterms:modified>
</cp:coreProperties>
</file>